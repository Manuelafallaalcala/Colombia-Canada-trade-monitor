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5" documentId="11_C1B3FB29D09CDDBF5B2D640D45EE1FF670CC74B0" xr6:coauthVersionLast="47" xr6:coauthVersionMax="47" xr10:uidLastSave="{CC818D21-74C1-4697-B27D-A374E2CCA3AB}"/>
  <bookViews>
    <workbookView xWindow="0" yWindow="0" windowWidth="16384" windowHeight="8192" tabRatio="500" xr2:uid="{00000000-000D-0000-FFFF-FFFF00000000}"/>
  </bookViews>
  <sheets>
    <sheet name="Hoj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<sst xmlns="http://schemas.openxmlformats.org/spreadsheetml/2006/main" count="59" uniqueCount="41">
  <si>
    <t>Número</t>
  </si>
  <si>
    <t>Producto</t>
  </si>
  <si>
    <t>Código HS</t>
  </si>
  <si>
    <t>Precio de Referencia (USD)</t>
  </si>
  <si>
    <t>Unidad / Métrica</t>
  </si>
  <si>
    <t>Tipo de Cambio (USD/CAD)</t>
  </si>
  <si>
    <t>Precio de Referencia (CAD)</t>
  </si>
  <si>
    <t>Fuente (URL)</t>
  </si>
  <si>
    <t>Fecha de Consulta</t>
  </si>
  <si>
    <t>Café sin tostar</t>
  </si>
  <si>
    <t>0901.11.90.00</t>
  </si>
  <si>
    <t>Kilogramo (FOB)</t>
  </si>
  <si>
    <t>https://www.federaciondecafeteros.org; https://www.ico.org/prices/po</t>
  </si>
  <si>
    <t>06 de julio de 2026</t>
  </si>
  <si>
    <t>Carbón bituminoso</t>
  </si>
  <si>
    <t>2701.12.00.00</t>
  </si>
  <si>
    <t>https://www.indexmundi.com/commodities/?commodity=colombian-coal</t>
  </si>
  <si>
    <t>Frutas tropicales (guayaba/mango)</t>
  </si>
  <si>
    <t>0804.50.00.00</t>
  </si>
  <si>
    <t>https://www.trademap.org (Colombia exportador, HS 080450, Canadá importador, 2024)</t>
  </si>
  <si>
    <t>Flores frescas otras (pompones/hortensias)</t>
  </si>
  <si>
    <t>0603.19.00.00</t>
  </si>
  <si>
    <t>https://www.trademap.org (Colombia exportador, HS 060319, 2024); https://asocolflores.org</t>
  </si>
  <si>
    <t>Medicamentos corticosteroides</t>
  </si>
  <si>
    <t>3004.32.00.00</t>
  </si>
  <si>
    <t>https://www.trademap.org (Colombia exportador, HS 300432, 2024)</t>
  </si>
  <si>
    <t>Medias/calcetines fibra sintética</t>
  </si>
  <si>
    <t>6115.96.00.00</t>
  </si>
  <si>
    <t>https://www.trademap.org (Colombia exportador, HS 611596, 2024)</t>
  </si>
  <si>
    <t>Accesorios tubería hierro/acero</t>
  </si>
  <si>
    <t>7307.92.00.00</t>
  </si>
  <si>
    <t>https://www.trademap.org (Colombia exportador, HS 730792, 2024)</t>
  </si>
  <si>
    <t>Filetes de trucha congelados</t>
  </si>
  <si>
    <t>0304.82.00.00</t>
  </si>
  <si>
    <t>https://www.tridge.com/intelligences/trout/price; https://www.trademap.org (HS 030482, 2024)</t>
  </si>
  <si>
    <t>Nueces y semillas preparadas</t>
  </si>
  <si>
    <t>2008.19.00.00</t>
  </si>
  <si>
    <t>https://www.trademap.org (Colombia exportador, HS 200819, 2024)</t>
  </si>
  <si>
    <t>Rosas frescas cortadas</t>
  </si>
  <si>
    <t>0603.11.00.00</t>
  </si>
  <si>
    <t>https://www.trademap.org (Colombia exportador, HS 060311, 2024); https://asocolflores.org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</si>
</sst>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F5" sqref="F5"/>
    </sheetView>
  </sheetViews>
  <sheetFormatPr defaultColWidth="8.7109375" defaultRowHeight="15"/>
  <cols>
    <col min="2" max="2" width="39.42578125" customWidth="1"/>
    <col min="3" max="3" width="16.28515625" customWidth="1"/>
    <col min="4" max="4" width="23.42578125" customWidth="1"/>
    <col min="5" max="5" width="19.85546875" customWidth="1"/>
    <col min="6" max="6" width="27" customWidth="1"/>
    <col min="7" max="7" width="26.140625" customWidth="1"/>
    <col min="8" max="8" width="22.140625" customWidth="1"/>
  </cols>
  <sheetData>
    <row r="1" spans="1:9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>
      <c r="A2">
        <v>1</v>
      </c>
      <c r="B2" t="s">
        <v>9</v>
      </c>
      <c r="C2" t="s">
        <v>10</v>
      </c>
      <c r="D2" s="1">
        <v>3.2</v>
      </c>
      <c r="E2" t="s">
        <v>11</v>
      </c>
      <c r="F2">
        <v>1.33</v>
      </c>
      <c r="G2" s="1">
        <f>D2*F2</f>
        <v>4.2560000000000002</v>
      </c>
      <c r="H2" t="s">
        <v>12</v>
      </c>
      <c r="I2" t="s">
        <v>13</v>
      </c>
    </row>
    <row r="3" spans="1:9" ht="15" customHeight="1">
      <c r="A3">
        <v>2</v>
      </c>
      <c r="B3" t="s">
        <v>14</v>
      </c>
      <c r="C3" t="s">
        <v>15</v>
      </c>
      <c r="D3" s="1">
        <v>8.7999999999999995E-2</v>
      </c>
      <c r="E3" t="s">
        <v>11</v>
      </c>
      <c r="F3">
        <v>1.33</v>
      </c>
      <c r="G3" s="1">
        <f>D3*F3</f>
        <v>0.11704000000000001</v>
      </c>
      <c r="H3" t="s">
        <v>16</v>
      </c>
      <c r="I3" t="s">
        <v>13</v>
      </c>
    </row>
    <row r="4" spans="1:9" ht="15" customHeight="1">
      <c r="A4">
        <v>3</v>
      </c>
      <c r="B4" t="s">
        <v>17</v>
      </c>
      <c r="C4" t="s">
        <v>18</v>
      </c>
      <c r="D4" s="1">
        <v>1.2</v>
      </c>
      <c r="E4" t="s">
        <v>11</v>
      </c>
      <c r="F4">
        <v>1.33</v>
      </c>
      <c r="G4" s="1">
        <f>D4*F4</f>
        <v>1.5960000000000001</v>
      </c>
      <c r="H4" t="s">
        <v>19</v>
      </c>
      <c r="I4" t="s">
        <v>13</v>
      </c>
    </row>
    <row r="5" spans="1:9" ht="15" customHeight="1">
      <c r="A5">
        <v>4</v>
      </c>
      <c r="B5" t="s">
        <v>20</v>
      </c>
      <c r="C5" t="s">
        <v>21</v>
      </c>
      <c r="D5" s="1">
        <v>2.5</v>
      </c>
      <c r="E5" t="s">
        <v>11</v>
      </c>
      <c r="F5">
        <v>1.33</v>
      </c>
      <c r="G5" s="1">
        <f>D5*F5</f>
        <v>3.3250000000000002</v>
      </c>
      <c r="H5" t="s">
        <v>22</v>
      </c>
      <c r="I5" t="s">
        <v>13</v>
      </c>
    </row>
    <row r="6" spans="1:9" ht="15" customHeight="1">
      <c r="A6">
        <v>5</v>
      </c>
      <c r="B6" t="s">
        <v>23</v>
      </c>
      <c r="C6" t="s">
        <v>24</v>
      </c>
      <c r="D6" s="1">
        <v>28</v>
      </c>
      <c r="E6" t="s">
        <v>11</v>
      </c>
      <c r="F6">
        <v>1.33</v>
      </c>
      <c r="G6" s="1">
        <f>D6*F6</f>
        <v>37.24</v>
      </c>
      <c r="H6" t="s">
        <v>25</v>
      </c>
      <c r="I6" t="s">
        <v>13</v>
      </c>
    </row>
    <row r="7" spans="1:9" ht="15" customHeight="1">
      <c r="A7">
        <v>6</v>
      </c>
      <c r="B7" t="s">
        <v>26</v>
      </c>
      <c r="C7" t="s">
        <v>27</v>
      </c>
      <c r="D7" s="1">
        <v>6.8</v>
      </c>
      <c r="E7" t="s">
        <v>11</v>
      </c>
      <c r="F7">
        <v>1.33</v>
      </c>
      <c r="G7" s="1">
        <f>D7*F7</f>
        <v>9.0440000000000005</v>
      </c>
      <c r="H7" t="s">
        <v>28</v>
      </c>
      <c r="I7" t="s">
        <v>13</v>
      </c>
    </row>
    <row r="8" spans="1:9" ht="15" customHeight="1">
      <c r="A8">
        <v>7</v>
      </c>
      <c r="B8" t="s">
        <v>29</v>
      </c>
      <c r="C8" t="s">
        <v>30</v>
      </c>
      <c r="D8" s="1">
        <v>2.1</v>
      </c>
      <c r="E8" t="s">
        <v>11</v>
      </c>
      <c r="F8">
        <v>1.33</v>
      </c>
      <c r="G8" s="1">
        <f>D8*F8</f>
        <v>2.7930000000000001</v>
      </c>
      <c r="H8" t="s">
        <v>31</v>
      </c>
      <c r="I8" t="s">
        <v>13</v>
      </c>
    </row>
    <row r="9" spans="1:9" ht="15" customHeight="1">
      <c r="A9">
        <v>8</v>
      </c>
      <c r="B9" t="s">
        <v>32</v>
      </c>
      <c r="C9" t="s">
        <v>33</v>
      </c>
      <c r="D9" s="1">
        <v>5.5</v>
      </c>
      <c r="E9" t="s">
        <v>11</v>
      </c>
      <c r="F9">
        <v>1.33</v>
      </c>
      <c r="G9" s="1">
        <f>D9*F9</f>
        <v>7.3150000000000004</v>
      </c>
      <c r="H9" t="s">
        <v>34</v>
      </c>
      <c r="I9" t="s">
        <v>13</v>
      </c>
    </row>
    <row r="10" spans="1:9" ht="15" customHeight="1">
      <c r="A10">
        <v>9</v>
      </c>
      <c r="B10" t="s">
        <v>35</v>
      </c>
      <c r="C10" t="s">
        <v>36</v>
      </c>
      <c r="D10" s="1">
        <v>4.3</v>
      </c>
      <c r="E10" t="s">
        <v>11</v>
      </c>
      <c r="F10">
        <v>1.33</v>
      </c>
      <c r="G10" s="1">
        <f>D10*F10</f>
        <v>5.7190000000000003</v>
      </c>
      <c r="H10" t="s">
        <v>37</v>
      </c>
      <c r="I10" t="s">
        <v>13</v>
      </c>
    </row>
    <row r="11" spans="1:9" ht="15" customHeight="1">
      <c r="A11">
        <v>10</v>
      </c>
      <c r="B11" t="s">
        <v>38</v>
      </c>
      <c r="C11" t="s">
        <v>39</v>
      </c>
      <c r="D11" s="1">
        <v>2.8</v>
      </c>
      <c r="E11" t="s">
        <v>11</v>
      </c>
      <c r="F11">
        <v>1.33</v>
      </c>
      <c r="G11" s="1">
        <f>D11*F11</f>
        <v>3.7239999999999998</v>
      </c>
      <c r="H11" t="s">
        <v>40</v>
      </c>
      <c r="I11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MANUELA MARIA FALLA ALCALA</cp:lastModifiedBy>
  <cp:revision>0</cp:revision>
  <dcterms:created xsi:type="dcterms:W3CDTF">2026-06-25T19:24:25Z</dcterms:created>
  <dcterms:modified xsi:type="dcterms:W3CDTF">2026-07-07T15:40:22Z</dcterms:modified>
  <cp:category/>
  <cp:contentStatus/>
</cp:coreProperties>
</file>